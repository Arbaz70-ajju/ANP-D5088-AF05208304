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AE34F87-E3D5-44E7-B8C5-82CDB4BCDD1E}" xr6:coauthVersionLast="47" xr6:coauthVersionMax="47" xr10:uidLastSave="{00000000-0000-0000-0000-000000000000}"/>
  <bookViews>
    <workbookView xWindow="-108" yWindow="-108" windowWidth="23256" windowHeight="12456" activeTab="1" xr2:uid="{E216B9CA-48A4-4084-BABB-B2045A78DF02}"/>
  </bookViews>
  <sheets>
    <sheet name="Deep Tech Report-Latest_Course 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" i="2"/>
</calcChain>
</file>

<file path=xl/sharedStrings.xml><?xml version="1.0" encoding="utf-8"?>
<sst xmlns="http://schemas.openxmlformats.org/spreadsheetml/2006/main" count="153" uniqueCount="75">
  <si>
    <t>Student Code</t>
  </si>
  <si>
    <t>Student Name</t>
  </si>
  <si>
    <t>Batch Code</t>
  </si>
  <si>
    <t>Attendance%</t>
  </si>
  <si>
    <t>Course Level Attendance%</t>
  </si>
  <si>
    <t>TD Lab Marks%</t>
  </si>
  <si>
    <t>TD Lab Completion%</t>
  </si>
  <si>
    <t>Lab Count</t>
  </si>
  <si>
    <t>Lab Assigned</t>
  </si>
  <si>
    <t>MCQ Marks%</t>
  </si>
  <si>
    <t>MCQ Completion%</t>
  </si>
  <si>
    <t>MCQ Count</t>
  </si>
  <si>
    <t>MCQ Assigned</t>
  </si>
  <si>
    <t>Sprint1%</t>
  </si>
  <si>
    <t>Sprint2%</t>
  </si>
  <si>
    <t>iChat%</t>
  </si>
  <si>
    <t>iChat Count</t>
  </si>
  <si>
    <t>Aptitude%</t>
  </si>
  <si>
    <t>Aptitute Completion%</t>
  </si>
  <si>
    <t>Aptitude Count</t>
  </si>
  <si>
    <t>Aptitude Assigned</t>
  </si>
  <si>
    <t>AF05214337</t>
  </si>
  <si>
    <t>Arpit Lohiya</t>
  </si>
  <si>
    <t>ANP-D5088</t>
  </si>
  <si>
    <t>AF05214045</t>
  </si>
  <si>
    <t>Sourav Kumar Mahto</t>
  </si>
  <si>
    <t>AF05213775</t>
  </si>
  <si>
    <t>Ashutosh Verma</t>
  </si>
  <si>
    <t>AF05213760</t>
  </si>
  <si>
    <t>Sonu Kumar</t>
  </si>
  <si>
    <t>AF05212060</t>
  </si>
  <si>
    <t>Swarn Pratap Singh</t>
  </si>
  <si>
    <t>AF05211146</t>
  </si>
  <si>
    <t>Mohd Mazhar Khan</t>
  </si>
  <si>
    <t>AF05210108</t>
  </si>
  <si>
    <t>Manmohan Sharma</t>
  </si>
  <si>
    <t>AF05210107</t>
  </si>
  <si>
    <t>Raj Karan Singh</t>
  </si>
  <si>
    <t>AF05210106</t>
  </si>
  <si>
    <t>Aarushi sharma</t>
  </si>
  <si>
    <t>AF05208426</t>
  </si>
  <si>
    <t>Mr Ashwani</t>
  </si>
  <si>
    <t>AF05208306</t>
  </si>
  <si>
    <t>Uma Chauhan</t>
  </si>
  <si>
    <t>AF05208304</t>
  </si>
  <si>
    <t>Arbaaj Mansoori</t>
  </si>
  <si>
    <t>AF05205685</t>
  </si>
  <si>
    <t>Nitin kanojiya</t>
  </si>
  <si>
    <t>AF05203162</t>
  </si>
  <si>
    <t>Mr Vansh</t>
  </si>
  <si>
    <t>AF05200966</t>
  </si>
  <si>
    <t>Kunal Kumar</t>
  </si>
  <si>
    <t>AF05200575</t>
  </si>
  <si>
    <t>Diya Sharma</t>
  </si>
  <si>
    <t>AF05200511</t>
  </si>
  <si>
    <t>Pushpanjali Kumari</t>
  </si>
  <si>
    <t>AF05200236</t>
  </si>
  <si>
    <t>Mr Sameer</t>
  </si>
  <si>
    <t>AF05199240</t>
  </si>
  <si>
    <t>Miss Khushbu</t>
  </si>
  <si>
    <t>AF05193654</t>
  </si>
  <si>
    <t>Aashish Malik</t>
  </si>
  <si>
    <t>AF05192455</t>
  </si>
  <si>
    <t>Divya Agrawal</t>
  </si>
  <si>
    <t>AF05185752</t>
  </si>
  <si>
    <t>Manoj Rajput</t>
  </si>
  <si>
    <t>AF05169390</t>
  </si>
  <si>
    <t>Aamir khan</t>
  </si>
  <si>
    <t>AF05169339</t>
  </si>
  <si>
    <t>Harsh Gait</t>
  </si>
  <si>
    <t>AF05165162</t>
  </si>
  <si>
    <t>Aman Kumar</t>
  </si>
  <si>
    <t>Attendance</t>
  </si>
  <si>
    <t>MCQ Completion</t>
  </si>
  <si>
    <t>Lab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</si>
</sst>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7DED4-8862-4E96-BA81-8CCCF23358C0}">
  <dimension ref="A1:U26"/>
  <sheetViews>
    <sheetView workbookViewId="0">
      <selection sqref="A1:B26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">
      <c r="A3" t="s">
        <v>24</v>
      </c>
      <c r="B3" t="s">
        <v>25</v>
      </c>
      <c r="C3" t="s">
        <v>23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3">
      <c r="A4" t="s">
        <v>26</v>
      </c>
      <c r="B4" t="s">
        <v>27</v>
      </c>
      <c r="C4" t="s">
        <v>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3">
      <c r="A5" t="s">
        <v>28</v>
      </c>
      <c r="B5" t="s">
        <v>29</v>
      </c>
      <c r="C5" t="s">
        <v>23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3">
      <c r="A6" t="s">
        <v>30</v>
      </c>
      <c r="B6" t="s">
        <v>31</v>
      </c>
      <c r="C6" t="s">
        <v>23</v>
      </c>
      <c r="D6">
        <v>5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">
      <c r="A7" t="s">
        <v>32</v>
      </c>
      <c r="B7" t="s">
        <v>33</v>
      </c>
      <c r="C7" t="s">
        <v>23</v>
      </c>
      <c r="D7">
        <v>97</v>
      </c>
      <c r="E7">
        <v>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">
      <c r="A8" t="s">
        <v>34</v>
      </c>
      <c r="B8" t="s">
        <v>35</v>
      </c>
      <c r="C8" t="s">
        <v>23</v>
      </c>
      <c r="D8">
        <v>35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3">
      <c r="A9" t="s">
        <v>36</v>
      </c>
      <c r="B9" t="s">
        <v>37</v>
      </c>
      <c r="C9" t="s">
        <v>23</v>
      </c>
      <c r="D9">
        <v>52</v>
      </c>
      <c r="E9">
        <v>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3">
      <c r="A10" t="s">
        <v>38</v>
      </c>
      <c r="B10" t="s">
        <v>39</v>
      </c>
      <c r="C10" t="s">
        <v>23</v>
      </c>
      <c r="D10">
        <v>45</v>
      </c>
      <c r="E10">
        <v>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3">
      <c r="A11" t="s">
        <v>40</v>
      </c>
      <c r="B11" t="s">
        <v>41</v>
      </c>
      <c r="C11" t="s">
        <v>23</v>
      </c>
      <c r="D11">
        <v>44</v>
      </c>
      <c r="E11">
        <v>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">
      <c r="A12" t="s">
        <v>42</v>
      </c>
      <c r="B12" t="s">
        <v>43</v>
      </c>
      <c r="C12" t="s">
        <v>23</v>
      </c>
      <c r="D12">
        <v>90</v>
      </c>
      <c r="E12">
        <v>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3">
      <c r="A13" t="s">
        <v>44</v>
      </c>
      <c r="B13" t="s">
        <v>45</v>
      </c>
      <c r="C13" t="s">
        <v>23</v>
      </c>
      <c r="D13">
        <v>80</v>
      </c>
      <c r="E13">
        <v>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3">
      <c r="A14" t="s">
        <v>46</v>
      </c>
      <c r="B14" t="s">
        <v>47</v>
      </c>
      <c r="C14" t="s">
        <v>23</v>
      </c>
      <c r="D14">
        <v>99</v>
      </c>
      <c r="E14">
        <v>10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3">
      <c r="A15" t="s">
        <v>48</v>
      </c>
      <c r="B15" t="s">
        <v>49</v>
      </c>
      <c r="C15" t="s">
        <v>23</v>
      </c>
      <c r="D15">
        <v>11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3">
      <c r="A16" t="s">
        <v>50</v>
      </c>
      <c r="B16" t="s">
        <v>51</v>
      </c>
      <c r="C16" t="s">
        <v>23</v>
      </c>
      <c r="D16">
        <v>25</v>
      </c>
      <c r="E16">
        <v>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3">
      <c r="A17" t="s">
        <v>52</v>
      </c>
      <c r="B17" t="s">
        <v>53</v>
      </c>
      <c r="C17" t="s">
        <v>23</v>
      </c>
      <c r="D17">
        <v>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3">
      <c r="A18" t="s">
        <v>54</v>
      </c>
      <c r="B18" t="s">
        <v>55</v>
      </c>
      <c r="C18" t="s">
        <v>23</v>
      </c>
      <c r="D18">
        <v>82</v>
      </c>
      <c r="E18">
        <v>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3">
      <c r="A19" t="s">
        <v>56</v>
      </c>
      <c r="B19" t="s">
        <v>57</v>
      </c>
      <c r="C19" t="s">
        <v>23</v>
      </c>
      <c r="D19">
        <v>57</v>
      </c>
      <c r="E19">
        <v>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3">
      <c r="A20" t="s">
        <v>58</v>
      </c>
      <c r="B20" t="s">
        <v>59</v>
      </c>
      <c r="C20" t="s">
        <v>23</v>
      </c>
      <c r="D20">
        <v>74</v>
      </c>
      <c r="E20">
        <v>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3">
      <c r="A21" t="s">
        <v>60</v>
      </c>
      <c r="B21" t="s">
        <v>61</v>
      </c>
      <c r="C21" t="s">
        <v>23</v>
      </c>
      <c r="D21">
        <v>44</v>
      </c>
      <c r="E21">
        <v>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3">
      <c r="A22" t="s">
        <v>62</v>
      </c>
      <c r="B22" t="s">
        <v>63</v>
      </c>
      <c r="C22" t="s">
        <v>23</v>
      </c>
      <c r="D22">
        <v>68</v>
      </c>
      <c r="E22">
        <v>7</v>
      </c>
      <c r="F22">
        <v>0</v>
      </c>
      <c r="G22">
        <v>0</v>
      </c>
      <c r="H22">
        <v>0</v>
      </c>
      <c r="I22">
        <v>0</v>
      </c>
      <c r="J22">
        <v>100</v>
      </c>
      <c r="K22">
        <v>100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3">
      <c r="A23" t="s">
        <v>64</v>
      </c>
      <c r="B23" t="s">
        <v>65</v>
      </c>
      <c r="C23" t="s">
        <v>23</v>
      </c>
      <c r="D23">
        <v>46</v>
      </c>
      <c r="E23">
        <v>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3">
      <c r="A24" t="s">
        <v>66</v>
      </c>
      <c r="B24" t="s">
        <v>67</v>
      </c>
      <c r="C24" t="s">
        <v>23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3">
      <c r="A25" t="s">
        <v>68</v>
      </c>
      <c r="B25" t="s">
        <v>69</v>
      </c>
      <c r="C25" t="s">
        <v>23</v>
      </c>
      <c r="D25">
        <v>71</v>
      </c>
      <c r="E25">
        <v>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">
      <c r="A26" t="s">
        <v>70</v>
      </c>
      <c r="B26" t="s">
        <v>71</v>
      </c>
      <c r="C26" t="s">
        <v>23</v>
      </c>
      <c r="D26">
        <v>58</v>
      </c>
      <c r="E26">
        <v>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62AE-9514-4E06-9B8F-ED3E87055509}">
  <dimension ref="A1:G26"/>
  <sheetViews>
    <sheetView tabSelected="1" workbookViewId="0">
      <selection activeCell="G30" sqref="G30"/>
    </sheetView>
  </sheetViews>
  <sheetFormatPr defaultRowHeight="14.4" x14ac:dyDescent="0.3"/>
  <cols>
    <col min="1" max="1" width="13.88671875" customWidth="1"/>
    <col min="2" max="2" width="18.77734375" customWidth="1"/>
    <col min="3" max="3" width="11.6640625" customWidth="1"/>
    <col min="4" max="4" width="17.44140625" customWidth="1"/>
    <col min="5" max="5" width="14.21875" customWidth="1"/>
    <col min="6" max="6" width="17.21875" customWidth="1"/>
    <col min="7" max="7" width="14.44140625" customWidth="1"/>
  </cols>
  <sheetData>
    <row r="1" spans="1:7" ht="15.6" x14ac:dyDescent="0.3">
      <c r="A1" s="1" t="s">
        <v>0</v>
      </c>
      <c r="B1" s="1" t="s">
        <v>1</v>
      </c>
      <c r="C1" s="1" t="s">
        <v>72</v>
      </c>
      <c r="D1" s="1" t="s">
        <v>73</v>
      </c>
      <c r="E1" s="1" t="s">
        <v>12</v>
      </c>
      <c r="F1" s="1" t="s">
        <v>74</v>
      </c>
      <c r="G1" s="1" t="s">
        <v>8</v>
      </c>
    </row>
    <row r="2" spans="1:7" x14ac:dyDescent="0.3">
      <c r="A2" s="2" t="s">
        <v>21</v>
      </c>
      <c r="B2" s="2" t="s">
        <v>22</v>
      </c>
      <c r="C2" s="2">
        <f>VLOOKUP(A2,'Deep Tech Report-Latest_Course '!$A$2:$D$26,4,FALSE)</f>
        <v>0</v>
      </c>
      <c r="D2" s="2">
        <f>VLOOKUP(A2,'Deep Tech Report-Latest_Course '!$A$2:$M$26,11,FALSE)</f>
        <v>0</v>
      </c>
      <c r="E2" s="2">
        <f>VLOOKUP(A2,'Deep Tech Report-Latest_Course '!$A$2:$M$26,13,FALSE)</f>
        <v>1</v>
      </c>
      <c r="F2" s="2">
        <f>VLOOKUP(A2,'Deep Tech Report-Latest_Course '!$A$2:$M$26,9,FALSE)</f>
        <v>0</v>
      </c>
      <c r="G2" s="2">
        <f>VLOOKUP(A2,'Deep Tech Report-Latest_Course '!$A$2:$L$26,9,)</f>
        <v>0</v>
      </c>
    </row>
    <row r="3" spans="1:7" x14ac:dyDescent="0.3">
      <c r="A3" s="2" t="s">
        <v>24</v>
      </c>
      <c r="B3" s="2" t="s">
        <v>25</v>
      </c>
      <c r="C3" s="2">
        <f>VLOOKUP(A3,'Deep Tech Report-Latest_Course '!$A$2:$D$26,4,FALSE)</f>
        <v>0</v>
      </c>
      <c r="D3" s="2">
        <f>VLOOKUP(A3,'Deep Tech Report-Latest_Course '!$A$2:$M$26,11,FALSE)</f>
        <v>0</v>
      </c>
      <c r="E3" s="2">
        <f>VLOOKUP(A3,'Deep Tech Report-Latest_Course '!$A$2:$M$26,13,FALSE)</f>
        <v>1</v>
      </c>
      <c r="F3" s="2">
        <f>VLOOKUP(A3,'Deep Tech Report-Latest_Course '!$A$2:$M$26,9,FALSE)</f>
        <v>0</v>
      </c>
      <c r="G3" s="2">
        <f>VLOOKUP(A3,'Deep Tech Report-Latest_Course '!$A$2:$L$26,9,)</f>
        <v>0</v>
      </c>
    </row>
    <row r="4" spans="1:7" x14ac:dyDescent="0.3">
      <c r="A4" s="2" t="s">
        <v>26</v>
      </c>
      <c r="B4" s="2" t="s">
        <v>27</v>
      </c>
      <c r="C4" s="2">
        <f>VLOOKUP(A4,'Deep Tech Report-Latest_Course '!$A$2:$D$26,4,FALSE)</f>
        <v>0</v>
      </c>
      <c r="D4" s="2">
        <f>VLOOKUP(A4,'Deep Tech Report-Latest_Course '!$A$2:$M$26,11,FALSE)</f>
        <v>0</v>
      </c>
      <c r="E4" s="2">
        <f>VLOOKUP(A4,'Deep Tech Report-Latest_Course '!$A$2:$M$26,13,FALSE)</f>
        <v>1</v>
      </c>
      <c r="F4" s="2">
        <f>VLOOKUP(A4,'Deep Tech Report-Latest_Course '!$A$2:$M$26,9,FALSE)</f>
        <v>0</v>
      </c>
      <c r="G4" s="2">
        <f>VLOOKUP(A4,'Deep Tech Report-Latest_Course '!$A$2:$L$26,9,)</f>
        <v>0</v>
      </c>
    </row>
    <row r="5" spans="1:7" x14ac:dyDescent="0.3">
      <c r="A5" s="2" t="s">
        <v>28</v>
      </c>
      <c r="B5" s="2" t="s">
        <v>29</v>
      </c>
      <c r="C5" s="2">
        <f>VLOOKUP(A5,'Deep Tech Report-Latest_Course '!$A$2:$D$26,4,FALSE)</f>
        <v>0</v>
      </c>
      <c r="D5" s="2">
        <f>VLOOKUP(A5,'Deep Tech Report-Latest_Course '!$A$2:$M$26,11,FALSE)</f>
        <v>0</v>
      </c>
      <c r="E5" s="2">
        <f>VLOOKUP(A5,'Deep Tech Report-Latest_Course '!$A$2:$M$26,13,FALSE)</f>
        <v>1</v>
      </c>
      <c r="F5" s="2">
        <f>VLOOKUP(A5,'Deep Tech Report-Latest_Course '!$A$2:$M$26,9,FALSE)</f>
        <v>0</v>
      </c>
      <c r="G5" s="2">
        <f>VLOOKUP(A5,'Deep Tech Report-Latest_Course '!$A$2:$L$26,9,)</f>
        <v>0</v>
      </c>
    </row>
    <row r="6" spans="1:7" x14ac:dyDescent="0.3">
      <c r="A6" s="2" t="s">
        <v>30</v>
      </c>
      <c r="B6" s="2" t="s">
        <v>31</v>
      </c>
      <c r="C6" s="2">
        <f>VLOOKUP(A6,'Deep Tech Report-Latest_Course '!$A$2:$D$26,4,FALSE)</f>
        <v>5</v>
      </c>
      <c r="D6" s="2">
        <f>VLOOKUP(A6,'Deep Tech Report-Latest_Course '!$A$2:$M$26,11,FALSE)</f>
        <v>0</v>
      </c>
      <c r="E6" s="2">
        <f>VLOOKUP(A6,'Deep Tech Report-Latest_Course '!$A$2:$M$26,13,FALSE)</f>
        <v>1</v>
      </c>
      <c r="F6" s="2">
        <f>VLOOKUP(A6,'Deep Tech Report-Latest_Course '!$A$2:$M$26,9,FALSE)</f>
        <v>0</v>
      </c>
      <c r="G6" s="2">
        <f>VLOOKUP(A6,'Deep Tech Report-Latest_Course '!$A$2:$L$26,9,)</f>
        <v>0</v>
      </c>
    </row>
    <row r="7" spans="1:7" x14ac:dyDescent="0.3">
      <c r="A7" s="2" t="s">
        <v>32</v>
      </c>
      <c r="B7" s="2" t="s">
        <v>33</v>
      </c>
      <c r="C7" s="2">
        <f>VLOOKUP(A7,'Deep Tech Report-Latest_Course '!$A$2:$D$26,4,FALSE)</f>
        <v>97</v>
      </c>
      <c r="D7" s="2">
        <f>VLOOKUP(A7,'Deep Tech Report-Latest_Course '!$A$2:$M$26,11,FALSE)</f>
        <v>0</v>
      </c>
      <c r="E7" s="2">
        <f>VLOOKUP(A7,'Deep Tech Report-Latest_Course '!$A$2:$M$26,13,FALSE)</f>
        <v>1</v>
      </c>
      <c r="F7" s="2">
        <f>VLOOKUP(A7,'Deep Tech Report-Latest_Course '!$A$2:$M$26,9,FALSE)</f>
        <v>0</v>
      </c>
      <c r="G7" s="2">
        <f>VLOOKUP(A7,'Deep Tech Report-Latest_Course '!$A$2:$L$26,9,)</f>
        <v>0</v>
      </c>
    </row>
    <row r="8" spans="1:7" x14ac:dyDescent="0.3">
      <c r="A8" s="2" t="s">
        <v>34</v>
      </c>
      <c r="B8" s="2" t="s">
        <v>35</v>
      </c>
      <c r="C8" s="2">
        <f>VLOOKUP(A8,'Deep Tech Report-Latest_Course '!$A$2:$D$26,4,FALSE)</f>
        <v>35</v>
      </c>
      <c r="D8" s="2">
        <f>VLOOKUP(A8,'Deep Tech Report-Latest_Course '!$A$2:$M$26,11,FALSE)</f>
        <v>0</v>
      </c>
      <c r="E8" s="2">
        <f>VLOOKUP(A8,'Deep Tech Report-Latest_Course '!$A$2:$M$26,13,FALSE)</f>
        <v>1</v>
      </c>
      <c r="F8" s="2">
        <f>VLOOKUP(A8,'Deep Tech Report-Latest_Course '!$A$2:$M$26,9,FALSE)</f>
        <v>0</v>
      </c>
      <c r="G8" s="2">
        <f>VLOOKUP(A8,'Deep Tech Report-Latest_Course '!$A$2:$L$26,9,)</f>
        <v>0</v>
      </c>
    </row>
    <row r="9" spans="1:7" x14ac:dyDescent="0.3">
      <c r="A9" s="2" t="s">
        <v>36</v>
      </c>
      <c r="B9" s="2" t="s">
        <v>37</v>
      </c>
      <c r="C9" s="2">
        <f>VLOOKUP(A9,'Deep Tech Report-Latest_Course '!$A$2:$D$26,4,FALSE)</f>
        <v>52</v>
      </c>
      <c r="D9" s="2">
        <f>VLOOKUP(A9,'Deep Tech Report-Latest_Course '!$A$2:$M$26,11,FALSE)</f>
        <v>0</v>
      </c>
      <c r="E9" s="2">
        <f>VLOOKUP(A9,'Deep Tech Report-Latest_Course '!$A$2:$M$26,13,FALSE)</f>
        <v>1</v>
      </c>
      <c r="F9" s="2">
        <f>VLOOKUP(A9,'Deep Tech Report-Latest_Course '!$A$2:$M$26,9,FALSE)</f>
        <v>0</v>
      </c>
      <c r="G9" s="2">
        <f>VLOOKUP(A9,'Deep Tech Report-Latest_Course '!$A$2:$L$26,9,)</f>
        <v>0</v>
      </c>
    </row>
    <row r="10" spans="1:7" x14ac:dyDescent="0.3">
      <c r="A10" s="2" t="s">
        <v>38</v>
      </c>
      <c r="B10" s="2" t="s">
        <v>39</v>
      </c>
      <c r="C10" s="2">
        <f>VLOOKUP(A10,'Deep Tech Report-Latest_Course '!$A$2:$D$26,4,FALSE)</f>
        <v>45</v>
      </c>
      <c r="D10" s="2">
        <f>VLOOKUP(A10,'Deep Tech Report-Latest_Course '!$A$2:$M$26,11,FALSE)</f>
        <v>0</v>
      </c>
      <c r="E10" s="2">
        <f>VLOOKUP(A10,'Deep Tech Report-Latest_Course '!$A$2:$M$26,13,FALSE)</f>
        <v>1</v>
      </c>
      <c r="F10" s="2">
        <f>VLOOKUP(A10,'Deep Tech Report-Latest_Course '!$A$2:$M$26,9,FALSE)</f>
        <v>0</v>
      </c>
      <c r="G10" s="2">
        <f>VLOOKUP(A10,'Deep Tech Report-Latest_Course '!$A$2:$L$26,9,)</f>
        <v>0</v>
      </c>
    </row>
    <row r="11" spans="1:7" x14ac:dyDescent="0.3">
      <c r="A11" s="2" t="s">
        <v>40</v>
      </c>
      <c r="B11" s="2" t="s">
        <v>41</v>
      </c>
      <c r="C11" s="2">
        <f>VLOOKUP(A11,'Deep Tech Report-Latest_Course '!$A$2:$D$26,4,FALSE)</f>
        <v>44</v>
      </c>
      <c r="D11" s="2">
        <f>VLOOKUP(A11,'Deep Tech Report-Latest_Course '!$A$2:$M$26,11,FALSE)</f>
        <v>0</v>
      </c>
      <c r="E11" s="2">
        <f>VLOOKUP(A11,'Deep Tech Report-Latest_Course '!$A$2:$M$26,13,FALSE)</f>
        <v>1</v>
      </c>
      <c r="F11" s="2">
        <f>VLOOKUP(A11,'Deep Tech Report-Latest_Course '!$A$2:$M$26,9,FALSE)</f>
        <v>0</v>
      </c>
      <c r="G11" s="2">
        <f>VLOOKUP(A11,'Deep Tech Report-Latest_Course '!$A$2:$L$26,9,)</f>
        <v>0</v>
      </c>
    </row>
    <row r="12" spans="1:7" x14ac:dyDescent="0.3">
      <c r="A12" s="2" t="s">
        <v>42</v>
      </c>
      <c r="B12" s="2" t="s">
        <v>43</v>
      </c>
      <c r="C12" s="2">
        <f>VLOOKUP(A12,'Deep Tech Report-Latest_Course '!$A$2:$D$26,4,FALSE)</f>
        <v>90</v>
      </c>
      <c r="D12" s="2">
        <f>VLOOKUP(A12,'Deep Tech Report-Latest_Course '!$A$2:$M$26,11,FALSE)</f>
        <v>0</v>
      </c>
      <c r="E12" s="2">
        <f>VLOOKUP(A12,'Deep Tech Report-Latest_Course '!$A$2:$M$26,13,FALSE)</f>
        <v>1</v>
      </c>
      <c r="F12" s="2">
        <f>VLOOKUP(A12,'Deep Tech Report-Latest_Course '!$A$2:$M$26,9,FALSE)</f>
        <v>0</v>
      </c>
      <c r="G12" s="2">
        <f>VLOOKUP(A12,'Deep Tech Report-Latest_Course '!$A$2:$L$26,9,)</f>
        <v>0</v>
      </c>
    </row>
    <row r="13" spans="1:7" x14ac:dyDescent="0.3">
      <c r="A13" s="2" t="s">
        <v>44</v>
      </c>
      <c r="B13" s="2" t="s">
        <v>45</v>
      </c>
      <c r="C13" s="2">
        <f>VLOOKUP(A13,'Deep Tech Report-Latest_Course '!$A$2:$D$26,4,FALSE)</f>
        <v>80</v>
      </c>
      <c r="D13" s="2">
        <f>VLOOKUP(A13,'Deep Tech Report-Latest_Course '!$A$2:$M$26,11,FALSE)</f>
        <v>0</v>
      </c>
      <c r="E13" s="2">
        <f>VLOOKUP(A13,'Deep Tech Report-Latest_Course '!$A$2:$M$26,13,FALSE)</f>
        <v>1</v>
      </c>
      <c r="F13" s="2">
        <f>VLOOKUP(A13,'Deep Tech Report-Latest_Course '!$A$2:$M$26,9,FALSE)</f>
        <v>0</v>
      </c>
      <c r="G13" s="2">
        <f>VLOOKUP(A13,'Deep Tech Report-Latest_Course '!$A$2:$L$26,9,)</f>
        <v>0</v>
      </c>
    </row>
    <row r="14" spans="1:7" x14ac:dyDescent="0.3">
      <c r="A14" s="2" t="s">
        <v>46</v>
      </c>
      <c r="B14" s="2" t="s">
        <v>47</v>
      </c>
      <c r="C14" s="2">
        <f>VLOOKUP(A14,'Deep Tech Report-Latest_Course '!$A$2:$D$26,4,FALSE)</f>
        <v>99</v>
      </c>
      <c r="D14" s="2">
        <f>VLOOKUP(A14,'Deep Tech Report-Latest_Course '!$A$2:$M$26,11,FALSE)</f>
        <v>0</v>
      </c>
      <c r="E14" s="2">
        <f>VLOOKUP(A14,'Deep Tech Report-Latest_Course '!$A$2:$M$26,13,FALSE)</f>
        <v>1</v>
      </c>
      <c r="F14" s="2">
        <f>VLOOKUP(A14,'Deep Tech Report-Latest_Course '!$A$2:$M$26,9,FALSE)</f>
        <v>0</v>
      </c>
      <c r="G14" s="2">
        <f>VLOOKUP(A14,'Deep Tech Report-Latest_Course '!$A$2:$L$26,9,)</f>
        <v>0</v>
      </c>
    </row>
    <row r="15" spans="1:7" x14ac:dyDescent="0.3">
      <c r="A15" s="2" t="s">
        <v>48</v>
      </c>
      <c r="B15" s="2" t="s">
        <v>49</v>
      </c>
      <c r="C15" s="2">
        <f>VLOOKUP(A15,'Deep Tech Report-Latest_Course '!$A$2:$D$26,4,FALSE)</f>
        <v>11</v>
      </c>
      <c r="D15" s="2">
        <f>VLOOKUP(A15,'Deep Tech Report-Latest_Course '!$A$2:$M$26,11,FALSE)</f>
        <v>0</v>
      </c>
      <c r="E15" s="2">
        <f>VLOOKUP(A15,'Deep Tech Report-Latest_Course '!$A$2:$M$26,13,FALSE)</f>
        <v>1</v>
      </c>
      <c r="F15" s="2">
        <f>VLOOKUP(A15,'Deep Tech Report-Latest_Course '!$A$2:$M$26,9,FALSE)</f>
        <v>0</v>
      </c>
      <c r="G15" s="2">
        <f>VLOOKUP(A15,'Deep Tech Report-Latest_Course '!$A$2:$L$26,9,)</f>
        <v>0</v>
      </c>
    </row>
    <row r="16" spans="1:7" x14ac:dyDescent="0.3">
      <c r="A16" s="2" t="s">
        <v>50</v>
      </c>
      <c r="B16" s="2" t="s">
        <v>51</v>
      </c>
      <c r="C16" s="2">
        <f>VLOOKUP(A16,'Deep Tech Report-Latest_Course '!$A$2:$D$26,4,FALSE)</f>
        <v>25</v>
      </c>
      <c r="D16" s="2">
        <f>VLOOKUP(A16,'Deep Tech Report-Latest_Course '!$A$2:$M$26,11,FALSE)</f>
        <v>0</v>
      </c>
      <c r="E16" s="2">
        <f>VLOOKUP(A16,'Deep Tech Report-Latest_Course '!$A$2:$M$26,13,FALSE)</f>
        <v>1</v>
      </c>
      <c r="F16" s="2">
        <f>VLOOKUP(A16,'Deep Tech Report-Latest_Course '!$A$2:$M$26,9,FALSE)</f>
        <v>0</v>
      </c>
      <c r="G16" s="2">
        <f>VLOOKUP(A16,'Deep Tech Report-Latest_Course '!$A$2:$L$26,9,)</f>
        <v>0</v>
      </c>
    </row>
    <row r="17" spans="1:7" x14ac:dyDescent="0.3">
      <c r="A17" s="2" t="s">
        <v>52</v>
      </c>
      <c r="B17" s="2" t="s">
        <v>53</v>
      </c>
      <c r="C17" s="2">
        <f>VLOOKUP(A17,'Deep Tech Report-Latest_Course '!$A$2:$D$26,4,FALSE)</f>
        <v>3</v>
      </c>
      <c r="D17" s="2">
        <f>VLOOKUP(A17,'Deep Tech Report-Latest_Course '!$A$2:$M$26,11,FALSE)</f>
        <v>0</v>
      </c>
      <c r="E17" s="2">
        <f>VLOOKUP(A17,'Deep Tech Report-Latest_Course '!$A$2:$M$26,13,FALSE)</f>
        <v>1</v>
      </c>
      <c r="F17" s="2">
        <f>VLOOKUP(A17,'Deep Tech Report-Latest_Course '!$A$2:$M$26,9,FALSE)</f>
        <v>0</v>
      </c>
      <c r="G17" s="2">
        <f>VLOOKUP(A17,'Deep Tech Report-Latest_Course '!$A$2:$L$26,9,)</f>
        <v>0</v>
      </c>
    </row>
    <row r="18" spans="1:7" x14ac:dyDescent="0.3">
      <c r="A18" s="2" t="s">
        <v>54</v>
      </c>
      <c r="B18" s="2" t="s">
        <v>55</v>
      </c>
      <c r="C18" s="2">
        <f>VLOOKUP(A18,'Deep Tech Report-Latest_Course '!$A$2:$D$26,4,FALSE)</f>
        <v>82</v>
      </c>
      <c r="D18" s="2">
        <f>VLOOKUP(A18,'Deep Tech Report-Latest_Course '!$A$2:$M$26,11,FALSE)</f>
        <v>0</v>
      </c>
      <c r="E18" s="2">
        <f>VLOOKUP(A18,'Deep Tech Report-Latest_Course '!$A$2:$M$26,13,FALSE)</f>
        <v>1</v>
      </c>
      <c r="F18" s="2">
        <f>VLOOKUP(A18,'Deep Tech Report-Latest_Course '!$A$2:$M$26,9,FALSE)</f>
        <v>0</v>
      </c>
      <c r="G18" s="2">
        <f>VLOOKUP(A18,'Deep Tech Report-Latest_Course '!$A$2:$L$26,9,)</f>
        <v>0</v>
      </c>
    </row>
    <row r="19" spans="1:7" x14ac:dyDescent="0.3">
      <c r="A19" s="2" t="s">
        <v>56</v>
      </c>
      <c r="B19" s="2" t="s">
        <v>57</v>
      </c>
      <c r="C19" s="2">
        <f>VLOOKUP(A19,'Deep Tech Report-Latest_Course '!$A$2:$D$26,4,FALSE)</f>
        <v>57</v>
      </c>
      <c r="D19" s="2">
        <f>VLOOKUP(A19,'Deep Tech Report-Latest_Course '!$A$2:$M$26,11,FALSE)</f>
        <v>0</v>
      </c>
      <c r="E19" s="2">
        <f>VLOOKUP(A19,'Deep Tech Report-Latest_Course '!$A$2:$M$26,13,FALSE)</f>
        <v>1</v>
      </c>
      <c r="F19" s="2">
        <f>VLOOKUP(A19,'Deep Tech Report-Latest_Course '!$A$2:$M$26,9,FALSE)</f>
        <v>0</v>
      </c>
      <c r="G19" s="2">
        <f>VLOOKUP(A19,'Deep Tech Report-Latest_Course '!$A$2:$L$26,9,)</f>
        <v>0</v>
      </c>
    </row>
    <row r="20" spans="1:7" x14ac:dyDescent="0.3">
      <c r="A20" s="2" t="s">
        <v>58</v>
      </c>
      <c r="B20" s="2" t="s">
        <v>59</v>
      </c>
      <c r="C20" s="2">
        <f>VLOOKUP(A20,'Deep Tech Report-Latest_Course '!$A$2:$D$26,4,FALSE)</f>
        <v>74</v>
      </c>
      <c r="D20" s="2">
        <f>VLOOKUP(A20,'Deep Tech Report-Latest_Course '!$A$2:$M$26,11,FALSE)</f>
        <v>0</v>
      </c>
      <c r="E20" s="2">
        <f>VLOOKUP(A20,'Deep Tech Report-Latest_Course '!$A$2:$M$26,13,FALSE)</f>
        <v>1</v>
      </c>
      <c r="F20" s="2">
        <f>VLOOKUP(A20,'Deep Tech Report-Latest_Course '!$A$2:$M$26,9,FALSE)</f>
        <v>0</v>
      </c>
      <c r="G20" s="2">
        <f>VLOOKUP(A20,'Deep Tech Report-Latest_Course '!$A$2:$L$26,9,)</f>
        <v>0</v>
      </c>
    </row>
    <row r="21" spans="1:7" x14ac:dyDescent="0.3">
      <c r="A21" s="2" t="s">
        <v>60</v>
      </c>
      <c r="B21" s="2" t="s">
        <v>61</v>
      </c>
      <c r="C21" s="2">
        <f>VLOOKUP(A21,'Deep Tech Report-Latest_Course '!$A$2:$D$26,4,FALSE)</f>
        <v>44</v>
      </c>
      <c r="D21" s="2">
        <f>VLOOKUP(A21,'Deep Tech Report-Latest_Course '!$A$2:$M$26,11,FALSE)</f>
        <v>0</v>
      </c>
      <c r="E21" s="2">
        <f>VLOOKUP(A21,'Deep Tech Report-Latest_Course '!$A$2:$M$26,13,FALSE)</f>
        <v>1</v>
      </c>
      <c r="F21" s="2">
        <f>VLOOKUP(A21,'Deep Tech Report-Latest_Course '!$A$2:$M$26,9,FALSE)</f>
        <v>0</v>
      </c>
      <c r="G21" s="2">
        <f>VLOOKUP(A21,'Deep Tech Report-Latest_Course '!$A$2:$L$26,9,)</f>
        <v>0</v>
      </c>
    </row>
    <row r="22" spans="1:7" x14ac:dyDescent="0.3">
      <c r="A22" s="2" t="s">
        <v>62</v>
      </c>
      <c r="B22" s="2" t="s">
        <v>63</v>
      </c>
      <c r="C22" s="2">
        <f>VLOOKUP(A22,'Deep Tech Report-Latest_Course '!$A$2:$D$26,4,FALSE)</f>
        <v>68</v>
      </c>
      <c r="D22" s="2">
        <f>VLOOKUP(A22,'Deep Tech Report-Latest_Course '!$A$2:$M$26,11,FALSE)</f>
        <v>100</v>
      </c>
      <c r="E22" s="2">
        <f>VLOOKUP(A22,'Deep Tech Report-Latest_Course '!$A$2:$M$26,13,FALSE)</f>
        <v>1</v>
      </c>
      <c r="F22" s="2">
        <f>VLOOKUP(A22,'Deep Tech Report-Latest_Course '!$A$2:$M$26,9,FALSE)</f>
        <v>0</v>
      </c>
      <c r="G22" s="2">
        <f>VLOOKUP(A22,'Deep Tech Report-Latest_Course '!$A$2:$L$26,9,)</f>
        <v>0</v>
      </c>
    </row>
    <row r="23" spans="1:7" x14ac:dyDescent="0.3">
      <c r="A23" s="2" t="s">
        <v>64</v>
      </c>
      <c r="B23" s="2" t="s">
        <v>65</v>
      </c>
      <c r="C23" s="2">
        <f>VLOOKUP(A23,'Deep Tech Report-Latest_Course '!$A$2:$D$26,4,FALSE)</f>
        <v>46</v>
      </c>
      <c r="D23" s="2">
        <f>VLOOKUP(A23,'Deep Tech Report-Latest_Course '!$A$2:$M$26,11,FALSE)</f>
        <v>0</v>
      </c>
      <c r="E23" s="2">
        <f>VLOOKUP(A23,'Deep Tech Report-Latest_Course '!$A$2:$M$26,13,FALSE)</f>
        <v>1</v>
      </c>
      <c r="F23" s="2">
        <f>VLOOKUP(A23,'Deep Tech Report-Latest_Course '!$A$2:$M$26,9,FALSE)</f>
        <v>0</v>
      </c>
      <c r="G23" s="2">
        <f>VLOOKUP(A23,'Deep Tech Report-Latest_Course '!$A$2:$L$26,9,)</f>
        <v>0</v>
      </c>
    </row>
    <row r="24" spans="1:7" x14ac:dyDescent="0.3">
      <c r="A24" s="2" t="s">
        <v>66</v>
      </c>
      <c r="B24" s="2" t="s">
        <v>67</v>
      </c>
      <c r="C24" s="2">
        <f>VLOOKUP(A24,'Deep Tech Report-Latest_Course '!$A$2:$D$26,4,FALSE)</f>
        <v>0</v>
      </c>
      <c r="D24" s="2">
        <f>VLOOKUP(A24,'Deep Tech Report-Latest_Course '!$A$2:$M$26,11,FALSE)</f>
        <v>0</v>
      </c>
      <c r="E24" s="2">
        <f>VLOOKUP(A24,'Deep Tech Report-Latest_Course '!$A$2:$M$26,13,FALSE)</f>
        <v>1</v>
      </c>
      <c r="F24" s="2">
        <f>VLOOKUP(A24,'Deep Tech Report-Latest_Course '!$A$2:$M$26,9,FALSE)</f>
        <v>0</v>
      </c>
      <c r="G24" s="2">
        <f>VLOOKUP(A24,'Deep Tech Report-Latest_Course '!$A$2:$L$26,9,)</f>
        <v>0</v>
      </c>
    </row>
    <row r="25" spans="1:7" x14ac:dyDescent="0.3">
      <c r="A25" s="2" t="s">
        <v>68</v>
      </c>
      <c r="B25" s="2" t="s">
        <v>69</v>
      </c>
      <c r="C25" s="2">
        <f>VLOOKUP(A25,'Deep Tech Report-Latest_Course '!$A$2:$D$26,4,FALSE)</f>
        <v>71</v>
      </c>
      <c r="D25" s="2">
        <f>VLOOKUP(A25,'Deep Tech Report-Latest_Course '!$A$2:$M$26,11,FALSE)</f>
        <v>0</v>
      </c>
      <c r="E25" s="2">
        <f>VLOOKUP(A25,'Deep Tech Report-Latest_Course '!$A$2:$M$26,13,FALSE)</f>
        <v>1</v>
      </c>
      <c r="F25" s="2">
        <f>VLOOKUP(A25,'Deep Tech Report-Latest_Course '!$A$2:$M$26,9,FALSE)</f>
        <v>0</v>
      </c>
      <c r="G25" s="2">
        <f>VLOOKUP(A25,'Deep Tech Report-Latest_Course '!$A$2:$L$26,9,)</f>
        <v>0</v>
      </c>
    </row>
    <row r="26" spans="1:7" x14ac:dyDescent="0.3">
      <c r="A26" s="2" t="s">
        <v>70</v>
      </c>
      <c r="B26" s="2" t="s">
        <v>71</v>
      </c>
      <c r="C26" s="2">
        <f>VLOOKUP(A26,'Deep Tech Report-Latest_Course '!$A$2:$D$26,4,FALSE)</f>
        <v>58</v>
      </c>
      <c r="D26" s="2">
        <f>VLOOKUP(A26,'Deep Tech Report-Latest_Course '!$A$2:$M$26,11,FALSE)</f>
        <v>0</v>
      </c>
      <c r="E26" s="2">
        <f>VLOOKUP(A26,'Deep Tech Report-Latest_Course '!$A$2:$M$26,13,FALSE)</f>
        <v>1</v>
      </c>
      <c r="F26" s="2">
        <f>VLOOKUP(A26,'Deep Tech Report-Latest_Course '!$A$2:$M$26,9,FALSE)</f>
        <v>0</v>
      </c>
      <c r="G26" s="2">
        <f>VLOOKUP(A26,'Deep Tech Report-Latest_Course '!$A$2:$L$26,9,)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Deep Tech Report-Latest_Course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Arbaz Mansoori</cp:lastModifiedBy>
  <dcterms:created xsi:type="dcterms:W3CDTF">2026-05-20T08:20:19Z</dcterms:created>
  <dcterms:modified xsi:type="dcterms:W3CDTF">2026-05-24T08:39:35Z</dcterms:modified>
</cp:coreProperties>
</file>
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8_{2CAFEB2B-9084-41F9-B69A-699E68575860}" xr6:coauthVersionLast="47" xr6:coauthVersionMax="47" xr10:uidLastSave="{00000000-0000-0000-0000-000000000000}"/>
  <bookViews>
    <workbookView xWindow="-108" yWindow="-108" windowWidth="23256" windowHeight="12456" xr2:uid="{00000000-000D-0000-FFFF-FFFF00000000}"/>
  </bookViews>
  <sheets>
    <sheet name="Expense" sheetId="1" r:id="rId1"/>
    <sheet name="Tasks" sheetId="2" r:id="rId2"/>
    <sheet name="Sheet1" sheetId="3" r:id="rId3"/>
  </sheets>
  <definedNames>
    <definedName name="_xlnm._FilterDatabase" localSheetId="0" hidden="1">Expense!$A$1:$C$51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9" i="3" l="1"/>
  <c r="B38" i="3"/>
  <c r="B37" i="3"/>
  <c r="B36" i="3"/>
  <c r="B35" i="3"/>
  <c r="B34" i="3"/>
  <c r="B33" i="3"/>
  <c r="B32" i="3"/>
  <c r="B31" i="3"/>
  <c r="B30" i="3"/>
  <c r="B29" i="3"/>
  <c r="B14" i="3"/>
  <c r="B15" i="3"/>
  <c r="B16" i="3"/>
  <c r="B17" i="3"/>
  <c r="B18" i="3"/>
  <c r="B19" i="3"/>
  <c r="B20" i="3"/>
  <c r="B21" i="3"/>
  <c r="B22" i="3"/>
  <c r="B13" i="3"/>
  <c r="B12" i="3"/>
  <c r="E6" i="3"/>
  <c r="E5" i="3"/>
  <c r="E4" i="3"/>
  <c r="E3" i="3"/>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2" i="1"/>
  <c r="C52" i="1"/>
</calcChain>
</file>

<file path=xl/sharedStrings.xml><?xml version="1.0" encoding="utf-8"?>
<sst xmlns="http://schemas.openxmlformats.org/spreadsheetml/2006/main" count="148" uniqueCount="37">
  <si>
    <t>Date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</si>
  <si>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</si>
  <si>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</si>
  <si>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</si>
  <si>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</si>
  <si>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</si>
  <si>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</si>
  <si>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</si>
  <si>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</si>
  <si>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</si>
  <si>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</si>
  <si>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</si>
  <si>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</si>
  <si>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</si>
  <si>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</si>
  <si>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</si>
  <si>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</si>
  <si>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</si>
  <si>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</si>
  <si>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</si>
  <si>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</si>
  <si>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</si>
  <si>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</si>
  <si>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Category</t>
  </si>
  <si>
    <t>Cost Type</t>
  </si>
  <si>
    <t>create table to show item wise total expense</t>
  </si>
  <si>
    <t>total</t>
  </si>
  <si>
    <t>Q1-How many times has Priya done transactions on online shopping, ordering food and gifts?</t>
  </si>
  <si>
    <t>Essentials</t>
  </si>
  <si>
    <t>Non Essentials</t>
  </si>
  <si>
    <t>Expenses</t>
  </si>
  <si>
    <t>online shopping :</t>
  </si>
  <si>
    <t>ordering food :</t>
  </si>
  <si>
    <t>Gifts:</t>
  </si>
  <si>
    <t>Total Expense</t>
  </si>
  <si>
    <t xml:space="preserve">  Q3-Arrange the item-wise total expense in descending order.</t>
  </si>
  <si>
    <t xml:space="preserve">   Q2-Calculate the total expenses against each distinct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</si>
</sst>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sz val="22"/>
      <color theme="1"/>
      <name val="Calibri"/>
      <family val="2"/>
      <scheme val="minor"/>
    </font>
    <font>
      <b/>
      <sz val="20"/>
      <color rgb="FF003F81"/>
      <name val="Verdana"/>
      <family val="2"/>
    </font>
    <font>
      <sz val="20"/>
      <color rgb="FF000000"/>
      <name val="Verdana"/>
      <family val="2"/>
    </font>
    <font>
      <sz val="20"/>
      <color theme="1"/>
      <name val="Calibri"/>
      <family val="2"/>
      <scheme val="minor"/>
    </font>
    <font>
      <b/>
      <sz val="22"/>
      <color rgb="FF003F81"/>
      <name val="Verdana"/>
      <family val="2"/>
    </font>
    <font>
      <sz val="22"/>
      <color rgb="FF000000"/>
      <name val="Verdana"/>
      <family val="2"/>
    </font>
  </fonts>
  <fills count="9">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1">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0" fillId="0" borderId="0" xfId="0" applyAlignment="1">
      <alignment vertical="center"/>
    </xf>
    <xf numFmtId="0" fontId="6" fillId="0" borderId="0" xfId="0" applyFont="1"/>
    <xf numFmtId="0" fontId="6" fillId="0" borderId="0" xfId="0" applyFont="1" applyAlignment="1">
      <alignment vertical="center"/>
    </xf>
    <xf numFmtId="0" fontId="6" fillId="6" borderId="0" xfId="0" applyFont="1" applyFill="1" applyAlignment="1">
      <alignment horizontal="center" vertical="center"/>
    </xf>
    <xf numFmtId="0" fontId="6" fillId="6" borderId="0" xfId="0" applyFont="1" applyFill="1" applyAlignment="1">
      <alignment horizontal="left" vertical="center"/>
    </xf>
    <xf numFmtId="0" fontId="7"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9" fillId="5" borderId="1" xfId="0" applyFont="1" applyFill="1" applyBorder="1" applyAlignment="1">
      <alignment horizontal="center"/>
    </xf>
    <xf numFmtId="0" fontId="10" fillId="7" borderId="1" xfId="0" applyFont="1" applyFill="1" applyBorder="1" applyAlignment="1">
      <alignment horizontal="center" vertical="center" wrapText="1"/>
    </xf>
    <xf numFmtId="0" fontId="11" fillId="7" borderId="1" xfId="0" applyFont="1" applyFill="1" applyBorder="1" applyAlignment="1">
      <alignment vertical="center" wrapText="1"/>
    </xf>
    <xf numFmtId="0" fontId="6" fillId="8" borderId="3" xfId="0" applyFont="1" applyFill="1" applyBorder="1" applyAlignment="1">
      <alignment horizontal="center"/>
    </xf>
    <xf numFmtId="0" fontId="6" fillId="8" borderId="4" xfId="0" applyFont="1" applyFill="1" applyBorder="1" applyAlignment="1">
      <alignment horizontal="center"/>
    </xf>
    <xf numFmtId="0" fontId="6" fillId="8" borderId="2" xfId="0" applyFont="1" applyFill="1" applyBorder="1" applyAlignment="1">
      <alignment horizontal="center"/>
    </xf>
    <xf numFmtId="0" fontId="6" fillId="8" borderId="1" xfId="0" applyFont="1" applyFill="1" applyBorder="1"/>
    <xf numFmtId="0" fontId="6" fillId="7" borderId="1" xfId="0" applyFont="1" applyFill="1" applyBorder="1"/>
    <xf numFmtId="0" fontId="6" fillId="4" borderId="0" xfId="0" applyFont="1" applyFill="1" applyAlignment="1">
      <alignment horizontal="center" vertical="center"/>
    </xf>
    <xf numFmtId="0" fontId="6"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zoomScale="79" zoomScaleNormal="145" workbookViewId="0">
      <selection activeCell="B1" sqref="B1:B51"/>
    </sheetView>
  </sheetViews>
  <sheetFormatPr defaultRowHeight="14.4" x14ac:dyDescent="0.3"/>
  <cols>
    <col min="1" max="1" width="17.109375" customWidth="1"/>
    <col min="2" max="2" width="24.5546875" customWidth="1"/>
    <col min="3" max="3" width="14.44140625" style="11" customWidth="1"/>
    <col min="4" max="4" width="14" customWidth="1"/>
    <col min="5" max="5" width="13.88671875" customWidth="1"/>
  </cols>
  <sheetData>
    <row r="1" spans="1:5" ht="13.8" customHeight="1" x14ac:dyDescent="0.3">
      <c r="A1" s="3" t="s">
        <v>0</v>
      </c>
      <c r="B1" s="3" t="s">
        <v>13</v>
      </c>
      <c r="C1" s="8" t="s">
        <v>30</v>
      </c>
      <c r="D1" s="8" t="s">
        <v>23</v>
      </c>
      <c r="E1" s="8" t="s">
        <v>24</v>
      </c>
    </row>
    <row r="2" spans="1:5" ht="18" customHeight="1" x14ac:dyDescent="0.3">
      <c r="A2" s="4">
        <v>44470</v>
      </c>
      <c r="B2" s="5" t="s">
        <v>1</v>
      </c>
      <c r="C2" s="9">
        <v>2300</v>
      </c>
      <c r="D2" t="s">
        <v>28</v>
      </c>
      <c r="E2" t="str">
        <f>IF(C2&gt;2000,"Over Budget","Within Budget")</f>
        <v>Over Budget</v>
      </c>
    </row>
    <row r="3" spans="1:5" x14ac:dyDescent="0.3">
      <c r="A3" s="6">
        <v>44470</v>
      </c>
      <c r="B3" s="7" t="s">
        <v>2</v>
      </c>
      <c r="C3" s="9">
        <v>767</v>
      </c>
      <c r="D3" t="s">
        <v>29</v>
      </c>
      <c r="E3" t="str">
        <f t="shared" ref="E3:E51" si="0">IF(C3&gt;2000,"Over Budget","Within Budget")</f>
        <v>Within Budget</v>
      </c>
    </row>
    <row r="4" spans="1:5" x14ac:dyDescent="0.3">
      <c r="A4" s="6">
        <v>44470</v>
      </c>
      <c r="B4" s="7" t="s">
        <v>3</v>
      </c>
      <c r="C4" s="10">
        <v>2500</v>
      </c>
      <c r="D4" t="s">
        <v>28</v>
      </c>
      <c r="E4" t="str">
        <f t="shared" si="0"/>
        <v>Over Budget</v>
      </c>
    </row>
    <row r="5" spans="1:5" x14ac:dyDescent="0.3">
      <c r="A5" s="6">
        <v>44473</v>
      </c>
      <c r="B5" s="7" t="s">
        <v>4</v>
      </c>
      <c r="C5" s="9">
        <v>710</v>
      </c>
      <c r="D5" t="s">
        <v>28</v>
      </c>
      <c r="E5" t="str">
        <f t="shared" si="0"/>
        <v>Within Budget</v>
      </c>
    </row>
    <row r="6" spans="1:5" x14ac:dyDescent="0.3">
      <c r="A6" s="4">
        <v>44473</v>
      </c>
      <c r="B6" s="5" t="s">
        <v>5</v>
      </c>
      <c r="C6" s="9">
        <v>760</v>
      </c>
      <c r="D6" t="s">
        <v>29</v>
      </c>
      <c r="E6" t="str">
        <f t="shared" si="0"/>
        <v>Within Budget</v>
      </c>
    </row>
    <row r="7" spans="1:5" x14ac:dyDescent="0.3">
      <c r="A7" s="6">
        <v>44476</v>
      </c>
      <c r="B7" s="7" t="s">
        <v>9</v>
      </c>
      <c r="C7" s="10">
        <v>1900</v>
      </c>
      <c r="D7" t="s">
        <v>29</v>
      </c>
      <c r="E7" t="str">
        <f t="shared" si="0"/>
        <v>Within Budget</v>
      </c>
    </row>
    <row r="8" spans="1:5" x14ac:dyDescent="0.3">
      <c r="A8" s="4">
        <v>44477</v>
      </c>
      <c r="B8" s="5" t="s">
        <v>6</v>
      </c>
      <c r="C8" s="9">
        <v>450</v>
      </c>
      <c r="D8" t="s">
        <v>29</v>
      </c>
      <c r="E8" t="str">
        <f t="shared" si="0"/>
        <v>Within Budget</v>
      </c>
    </row>
    <row r="9" spans="1:5" x14ac:dyDescent="0.3">
      <c r="A9" s="6">
        <v>44484</v>
      </c>
      <c r="B9" s="7" t="s">
        <v>7</v>
      </c>
      <c r="C9" s="9">
        <v>620</v>
      </c>
      <c r="D9" t="s">
        <v>29</v>
      </c>
      <c r="E9" t="str">
        <f t="shared" si="0"/>
        <v>Within Budget</v>
      </c>
    </row>
    <row r="10" spans="1:5" x14ac:dyDescent="0.3">
      <c r="A10" s="6">
        <v>44485</v>
      </c>
      <c r="B10" s="7" t="s">
        <v>10</v>
      </c>
      <c r="C10" s="9">
        <v>470</v>
      </c>
      <c r="D10" t="s">
        <v>28</v>
      </c>
      <c r="E10" t="str">
        <f t="shared" si="0"/>
        <v>Within Budget</v>
      </c>
    </row>
    <row r="11" spans="1:5" x14ac:dyDescent="0.3">
      <c r="A11" s="6">
        <v>44487</v>
      </c>
      <c r="B11" s="7" t="s">
        <v>2</v>
      </c>
      <c r="C11" s="9">
        <v>970</v>
      </c>
      <c r="D11" t="s">
        <v>29</v>
      </c>
      <c r="E11" t="str">
        <f t="shared" si="0"/>
        <v>Within Budget</v>
      </c>
    </row>
    <row r="12" spans="1:5" x14ac:dyDescent="0.3">
      <c r="A12" s="6">
        <v>44487</v>
      </c>
      <c r="B12" s="5" t="s">
        <v>1</v>
      </c>
      <c r="C12" s="10">
        <v>1075</v>
      </c>
      <c r="D12" t="s">
        <v>28</v>
      </c>
      <c r="E12" t="str">
        <f t="shared" si="0"/>
        <v>Within Budget</v>
      </c>
    </row>
    <row r="13" spans="1:5" x14ac:dyDescent="0.3">
      <c r="A13" s="6">
        <v>44488</v>
      </c>
      <c r="B13" s="7" t="s">
        <v>6</v>
      </c>
      <c r="C13" s="9">
        <v>489</v>
      </c>
      <c r="D13" t="s">
        <v>29</v>
      </c>
      <c r="E13" t="str">
        <f t="shared" si="0"/>
        <v>Within Budget</v>
      </c>
    </row>
    <row r="14" spans="1:5" x14ac:dyDescent="0.3">
      <c r="A14" s="6">
        <v>44491</v>
      </c>
      <c r="B14" s="7" t="s">
        <v>3</v>
      </c>
      <c r="C14" s="10">
        <v>1574.1</v>
      </c>
      <c r="D14" t="s">
        <v>28</v>
      </c>
      <c r="E14" t="str">
        <f t="shared" si="0"/>
        <v>Within Budget</v>
      </c>
    </row>
    <row r="15" spans="1:5" x14ac:dyDescent="0.3">
      <c r="A15" s="6">
        <v>44491</v>
      </c>
      <c r="B15" s="7" t="s">
        <v>5</v>
      </c>
      <c r="C15" s="9">
        <v>550</v>
      </c>
      <c r="D15" t="s">
        <v>29</v>
      </c>
      <c r="E15" t="str">
        <f t="shared" si="0"/>
        <v>Within Budget</v>
      </c>
    </row>
    <row r="16" spans="1:5" x14ac:dyDescent="0.3">
      <c r="A16" s="6">
        <v>44494</v>
      </c>
      <c r="B16" s="7" t="s">
        <v>8</v>
      </c>
      <c r="C16" s="9">
        <v>423</v>
      </c>
      <c r="D16" t="s">
        <v>29</v>
      </c>
      <c r="E16" t="str">
        <f t="shared" si="0"/>
        <v>Within Budget</v>
      </c>
    </row>
    <row r="17" spans="1:5" x14ac:dyDescent="0.3">
      <c r="A17" s="6">
        <v>44496</v>
      </c>
      <c r="B17" s="7" t="s">
        <v>8</v>
      </c>
      <c r="C17" s="9">
        <v>358.22</v>
      </c>
      <c r="D17" t="s">
        <v>29</v>
      </c>
      <c r="E17" t="str">
        <f t="shared" si="0"/>
        <v>Within Budget</v>
      </c>
    </row>
    <row r="18" spans="1:5" x14ac:dyDescent="0.3">
      <c r="A18" s="6">
        <v>44496</v>
      </c>
      <c r="B18" s="7" t="s">
        <v>7</v>
      </c>
      <c r="C18" s="9">
        <v>520</v>
      </c>
      <c r="D18" t="s">
        <v>29</v>
      </c>
      <c r="E18" t="str">
        <f t="shared" si="0"/>
        <v>Within Budget</v>
      </c>
    </row>
    <row r="19" spans="1:5" x14ac:dyDescent="0.3">
      <c r="A19" s="4">
        <v>44497</v>
      </c>
      <c r="B19" s="5" t="s">
        <v>4</v>
      </c>
      <c r="C19" s="9">
        <v>300</v>
      </c>
      <c r="D19" t="s">
        <v>28</v>
      </c>
      <c r="E19" t="str">
        <f t="shared" si="0"/>
        <v>Within Budget</v>
      </c>
    </row>
    <row r="20" spans="1:5" x14ac:dyDescent="0.3">
      <c r="A20" s="4">
        <v>44498</v>
      </c>
      <c r="B20" s="5" t="s">
        <v>8</v>
      </c>
      <c r="C20" s="9">
        <v>407.05</v>
      </c>
      <c r="D20" t="s">
        <v>29</v>
      </c>
      <c r="E20" t="str">
        <f t="shared" si="0"/>
        <v>Within Budget</v>
      </c>
    </row>
    <row r="21" spans="1:5" x14ac:dyDescent="0.3">
      <c r="A21" s="4">
        <v>44499</v>
      </c>
      <c r="B21" s="5" t="s">
        <v>3</v>
      </c>
      <c r="C21" s="9">
        <v>300</v>
      </c>
      <c r="D21" t="s">
        <v>28</v>
      </c>
      <c r="E21" t="str">
        <f t="shared" si="0"/>
        <v>Within Budget</v>
      </c>
    </row>
    <row r="22" spans="1:5" x14ac:dyDescent="0.3">
      <c r="A22" s="6">
        <v>44501</v>
      </c>
      <c r="B22" s="7" t="s">
        <v>2</v>
      </c>
      <c r="C22" s="10">
        <v>2327</v>
      </c>
      <c r="D22" t="s">
        <v>29</v>
      </c>
      <c r="E22" t="str">
        <f t="shared" si="0"/>
        <v>Over Budget</v>
      </c>
    </row>
    <row r="23" spans="1:5" x14ac:dyDescent="0.3">
      <c r="A23" s="6">
        <v>44502</v>
      </c>
      <c r="B23" s="7" t="s">
        <v>9</v>
      </c>
      <c r="C23" s="9">
        <v>1150</v>
      </c>
      <c r="D23" t="s">
        <v>29</v>
      </c>
      <c r="E23" t="str">
        <f t="shared" si="0"/>
        <v>Within Budget</v>
      </c>
    </row>
    <row r="24" spans="1:5" x14ac:dyDescent="0.3">
      <c r="A24" s="6">
        <v>44504</v>
      </c>
      <c r="B24" s="7" t="s">
        <v>9</v>
      </c>
      <c r="C24" s="10">
        <v>1138</v>
      </c>
      <c r="D24" t="s">
        <v>29</v>
      </c>
      <c r="E24" t="str">
        <f t="shared" si="0"/>
        <v>Within Budget</v>
      </c>
    </row>
    <row r="25" spans="1:5" x14ac:dyDescent="0.3">
      <c r="A25" s="4">
        <v>44505</v>
      </c>
      <c r="B25" s="5" t="s">
        <v>12</v>
      </c>
      <c r="C25" s="9">
        <v>500</v>
      </c>
      <c r="D25" t="s">
        <v>29</v>
      </c>
      <c r="E25" t="str">
        <f t="shared" si="0"/>
        <v>Within Budget</v>
      </c>
    </row>
    <row r="26" spans="1:5" x14ac:dyDescent="0.3">
      <c r="A26" s="4">
        <v>44508</v>
      </c>
      <c r="B26" s="5" t="s">
        <v>5</v>
      </c>
      <c r="C26" s="9">
        <v>702</v>
      </c>
      <c r="D26" t="s">
        <v>29</v>
      </c>
      <c r="E26" t="str">
        <f t="shared" si="0"/>
        <v>Within Budget</v>
      </c>
    </row>
    <row r="27" spans="1:5" x14ac:dyDescent="0.3">
      <c r="A27" s="6">
        <v>44509</v>
      </c>
      <c r="B27" s="7" t="s">
        <v>3</v>
      </c>
      <c r="C27" s="10">
        <v>1600</v>
      </c>
      <c r="D27" t="s">
        <v>28</v>
      </c>
      <c r="E27" t="str">
        <f t="shared" si="0"/>
        <v>Within Budget</v>
      </c>
    </row>
    <row r="28" spans="1:5" x14ac:dyDescent="0.3">
      <c r="A28" s="6">
        <v>44512</v>
      </c>
      <c r="B28" s="7" t="s">
        <v>4</v>
      </c>
      <c r="C28" s="9">
        <v>600</v>
      </c>
      <c r="D28" t="s">
        <v>28</v>
      </c>
      <c r="E28" t="str">
        <f t="shared" si="0"/>
        <v>Within Budget</v>
      </c>
    </row>
    <row r="29" spans="1:5" ht="19.2" customHeight="1" x14ac:dyDescent="0.3">
      <c r="A29" s="4">
        <v>44515</v>
      </c>
      <c r="B29" s="5" t="s">
        <v>12</v>
      </c>
      <c r="C29" s="9">
        <v>900</v>
      </c>
      <c r="D29" t="s">
        <v>29</v>
      </c>
      <c r="E29" t="str">
        <f t="shared" si="0"/>
        <v>Within Budget</v>
      </c>
    </row>
    <row r="30" spans="1:5" x14ac:dyDescent="0.3">
      <c r="A30" s="6">
        <v>44515</v>
      </c>
      <c r="B30" s="5" t="s">
        <v>5</v>
      </c>
      <c r="C30" s="9">
        <v>150</v>
      </c>
      <c r="D30" t="s">
        <v>29</v>
      </c>
      <c r="E30" t="str">
        <f t="shared" si="0"/>
        <v>Within Budget</v>
      </c>
    </row>
    <row r="31" spans="1:5" x14ac:dyDescent="0.3">
      <c r="A31" s="4">
        <v>44515</v>
      </c>
      <c r="B31" s="5" t="s">
        <v>1</v>
      </c>
      <c r="C31" s="9">
        <v>2100</v>
      </c>
      <c r="D31" t="s">
        <v>28</v>
      </c>
      <c r="E31" t="str">
        <f t="shared" si="0"/>
        <v>Over Budget</v>
      </c>
    </row>
    <row r="32" spans="1:5" x14ac:dyDescent="0.3">
      <c r="A32" s="4">
        <v>44517</v>
      </c>
      <c r="B32" s="5" t="s">
        <v>10</v>
      </c>
      <c r="C32" s="9">
        <v>470.63</v>
      </c>
      <c r="D32" t="s">
        <v>28</v>
      </c>
      <c r="E32" t="str">
        <f t="shared" si="0"/>
        <v>Within Budget</v>
      </c>
    </row>
    <row r="33" spans="1:5" x14ac:dyDescent="0.3">
      <c r="A33" s="4">
        <v>44517</v>
      </c>
      <c r="B33" s="5" t="s">
        <v>8</v>
      </c>
      <c r="C33" s="9">
        <v>322.64</v>
      </c>
      <c r="D33" t="s">
        <v>29</v>
      </c>
      <c r="E33" t="str">
        <f t="shared" si="0"/>
        <v>Within Budget</v>
      </c>
    </row>
    <row r="34" spans="1:5" x14ac:dyDescent="0.3">
      <c r="A34" s="4">
        <v>44518</v>
      </c>
      <c r="B34" s="7" t="s">
        <v>7</v>
      </c>
      <c r="C34" s="9">
        <v>428</v>
      </c>
      <c r="D34" t="s">
        <v>29</v>
      </c>
      <c r="E34" t="str">
        <f t="shared" si="0"/>
        <v>Within Budget</v>
      </c>
    </row>
    <row r="35" spans="1:5" x14ac:dyDescent="0.3">
      <c r="A35" s="4">
        <v>44519</v>
      </c>
      <c r="B35" s="5" t="s">
        <v>4</v>
      </c>
      <c r="C35" s="9">
        <v>447</v>
      </c>
      <c r="D35" t="s">
        <v>28</v>
      </c>
      <c r="E35" t="str">
        <f t="shared" si="0"/>
        <v>Within Budget</v>
      </c>
    </row>
    <row r="36" spans="1:5" x14ac:dyDescent="0.3">
      <c r="A36" s="4">
        <v>44522</v>
      </c>
      <c r="B36" s="5" t="s">
        <v>3</v>
      </c>
      <c r="C36" s="10">
        <v>1720</v>
      </c>
      <c r="D36" t="s">
        <v>28</v>
      </c>
      <c r="E36" t="str">
        <f t="shared" si="0"/>
        <v>Within Budget</v>
      </c>
    </row>
    <row r="37" spans="1:5" x14ac:dyDescent="0.3">
      <c r="A37" s="6">
        <v>44524</v>
      </c>
      <c r="B37" s="7" t="s">
        <v>5</v>
      </c>
      <c r="C37" s="9">
        <v>540</v>
      </c>
      <c r="D37" t="s">
        <v>29</v>
      </c>
      <c r="E37" t="str">
        <f t="shared" si="0"/>
        <v>Within Budget</v>
      </c>
    </row>
    <row r="38" spans="1:5" x14ac:dyDescent="0.3">
      <c r="A38" s="4">
        <v>44525</v>
      </c>
      <c r="B38" s="5" t="s">
        <v>6</v>
      </c>
      <c r="C38" s="9">
        <v>314</v>
      </c>
      <c r="D38" t="s">
        <v>29</v>
      </c>
      <c r="E38" t="str">
        <f t="shared" si="0"/>
        <v>Within Budget</v>
      </c>
    </row>
    <row r="39" spans="1:5" ht="18" customHeight="1" x14ac:dyDescent="0.3">
      <c r="A39" s="4">
        <v>44526</v>
      </c>
      <c r="B39" s="5" t="s">
        <v>7</v>
      </c>
      <c r="C39" s="9">
        <v>518</v>
      </c>
      <c r="D39" t="s">
        <v>29</v>
      </c>
      <c r="E39" t="str">
        <f t="shared" si="0"/>
        <v>Within Budget</v>
      </c>
    </row>
    <row r="40" spans="1:5" ht="15.6" customHeight="1" x14ac:dyDescent="0.3">
      <c r="A40" s="4">
        <v>44526</v>
      </c>
      <c r="B40" s="7" t="s">
        <v>2</v>
      </c>
      <c r="C40" s="10">
        <v>2000</v>
      </c>
      <c r="D40" t="s">
        <v>29</v>
      </c>
      <c r="E40" t="str">
        <f t="shared" si="0"/>
        <v>Within Budget</v>
      </c>
    </row>
    <row r="41" spans="1:5" x14ac:dyDescent="0.3">
      <c r="A41" s="6">
        <v>44529</v>
      </c>
      <c r="B41" s="7" t="s">
        <v>6</v>
      </c>
      <c r="C41" s="9">
        <v>337</v>
      </c>
      <c r="D41" t="s">
        <v>29</v>
      </c>
      <c r="E41" t="str">
        <f t="shared" si="0"/>
        <v>Within Budget</v>
      </c>
    </row>
    <row r="42" spans="1:5" x14ac:dyDescent="0.3">
      <c r="A42" s="4">
        <v>44530</v>
      </c>
      <c r="B42" s="5" t="s">
        <v>7</v>
      </c>
      <c r="C42" s="9">
        <v>500</v>
      </c>
      <c r="D42" t="s">
        <v>29</v>
      </c>
      <c r="E42" t="str">
        <f t="shared" si="0"/>
        <v>Within Budget</v>
      </c>
    </row>
    <row r="43" spans="1:5" x14ac:dyDescent="0.3">
      <c r="A43" s="4">
        <v>44531</v>
      </c>
      <c r="B43" s="5" t="s">
        <v>3</v>
      </c>
      <c r="C43" s="10">
        <v>2500</v>
      </c>
      <c r="D43" t="s">
        <v>28</v>
      </c>
      <c r="E43" t="str">
        <f t="shared" si="0"/>
        <v>Over Budget</v>
      </c>
    </row>
    <row r="44" spans="1:5" x14ac:dyDescent="0.3">
      <c r="A44" s="6">
        <v>44534</v>
      </c>
      <c r="B44" s="7" t="s">
        <v>4</v>
      </c>
      <c r="C44" s="9">
        <v>710</v>
      </c>
      <c r="D44" t="s">
        <v>28</v>
      </c>
      <c r="E44" t="str">
        <f t="shared" si="0"/>
        <v>Within Budget</v>
      </c>
    </row>
    <row r="45" spans="1:5" x14ac:dyDescent="0.3">
      <c r="A45" s="4">
        <v>44537</v>
      </c>
      <c r="B45" s="5" t="s">
        <v>1</v>
      </c>
      <c r="C45" s="9">
        <v>2300</v>
      </c>
      <c r="D45" t="s">
        <v>28</v>
      </c>
      <c r="E45" t="str">
        <f t="shared" si="0"/>
        <v>Over Budget</v>
      </c>
    </row>
    <row r="46" spans="1:5" x14ac:dyDescent="0.3">
      <c r="A46" s="4">
        <v>44539</v>
      </c>
      <c r="B46" s="5" t="s">
        <v>11</v>
      </c>
      <c r="C46" s="9">
        <v>12000</v>
      </c>
      <c r="D46" t="s">
        <v>29</v>
      </c>
      <c r="E46" t="str">
        <f t="shared" si="0"/>
        <v>Over Budget</v>
      </c>
    </row>
    <row r="47" spans="1:5" x14ac:dyDescent="0.3">
      <c r="A47" s="4">
        <v>44545</v>
      </c>
      <c r="B47" s="7" t="s">
        <v>9</v>
      </c>
      <c r="C47" s="9">
        <v>1500</v>
      </c>
      <c r="D47" t="s">
        <v>29</v>
      </c>
      <c r="E47" t="str">
        <f t="shared" si="0"/>
        <v>Within Budget</v>
      </c>
    </row>
    <row r="48" spans="1:5" x14ac:dyDescent="0.3">
      <c r="A48" s="4">
        <v>44547</v>
      </c>
      <c r="B48" s="5" t="s">
        <v>10</v>
      </c>
      <c r="C48" s="9">
        <v>470.63</v>
      </c>
      <c r="D48" t="s">
        <v>28</v>
      </c>
      <c r="E48" t="str">
        <f t="shared" si="0"/>
        <v>Within Budget</v>
      </c>
    </row>
    <row r="49" spans="1:5" x14ac:dyDescent="0.3">
      <c r="A49" s="4">
        <v>44550</v>
      </c>
      <c r="B49" s="5" t="s">
        <v>6</v>
      </c>
      <c r="C49" s="9">
        <v>267</v>
      </c>
      <c r="D49" t="s">
        <v>29</v>
      </c>
      <c r="E49" t="str">
        <f t="shared" si="0"/>
        <v>Within Budget</v>
      </c>
    </row>
    <row r="50" spans="1:5" x14ac:dyDescent="0.3">
      <c r="A50" s="4">
        <v>44553</v>
      </c>
      <c r="B50" s="5" t="s">
        <v>5</v>
      </c>
      <c r="C50" s="9">
        <v>640</v>
      </c>
      <c r="D50" t="s">
        <v>29</v>
      </c>
      <c r="E50" t="str">
        <f t="shared" si="0"/>
        <v>Within Budget</v>
      </c>
    </row>
    <row r="51" spans="1:5" x14ac:dyDescent="0.3">
      <c r="A51" s="4">
        <v>44553</v>
      </c>
      <c r="B51" s="5" t="s">
        <v>4</v>
      </c>
      <c r="C51" s="9">
        <v>450</v>
      </c>
      <c r="D51" t="s">
        <v>28</v>
      </c>
      <c r="E51" t="str">
        <f t="shared" si="0"/>
        <v>Within Budget</v>
      </c>
    </row>
    <row r="52" spans="1:5" ht="31.2" x14ac:dyDescent="0.3">
      <c r="A52" s="2"/>
      <c r="C52" s="11">
        <f>SUM(C2:C51)</f>
        <v>57045.27</v>
      </c>
    </row>
    <row r="53" spans="1:5" ht="15.6" x14ac:dyDescent="0.3">
      <c r="A53" s="1"/>
    </row>
  </sheetData>
  <dataValidations count="1">
    <dataValidation type="list" allowBlank="1" showInputMessage="1" showErrorMessage="1" sqref="D1:D1048576" xr:uid="{8DB997E5-C19A-433E-8438-E4C13AD9321E}">
      <formula1>"Essentials, Non Essentials"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C9"/>
  <sheetViews>
    <sheetView workbookViewId="0">
      <selection activeCell="C12" sqref="C12"/>
    </sheetView>
  </sheetViews>
  <sheetFormatPr defaultRowHeight="14.4" x14ac:dyDescent="0.3"/>
  <cols>
    <col min="2" max="2" width="61.44140625" customWidth="1"/>
  </cols>
  <sheetData>
    <row r="1" spans="2:3" x14ac:dyDescent="0.3">
      <c r="B1" s="12" t="s">
        <v>22</v>
      </c>
    </row>
    <row r="2" spans="2:3" ht="39" customHeight="1" x14ac:dyDescent="0.3">
      <c r="B2" s="13" t="s">
        <v>14</v>
      </c>
    </row>
    <row r="3" spans="2:3" ht="25.2" customHeight="1" x14ac:dyDescent="0.3">
      <c r="B3" s="13" t="s">
        <v>15</v>
      </c>
    </row>
    <row r="4" spans="2:3" ht="37.200000000000003" customHeight="1" x14ac:dyDescent="0.3">
      <c r="B4" s="13" t="s">
        <v>16</v>
      </c>
    </row>
    <row r="5" spans="2:3" ht="41.4" customHeight="1" x14ac:dyDescent="0.3">
      <c r="B5" s="13" t="s">
        <v>17</v>
      </c>
      <c r="C5" t="s">
        <v>25</v>
      </c>
    </row>
    <row r="6" spans="2:3" ht="32.4" customHeight="1" x14ac:dyDescent="0.3">
      <c r="B6" s="13" t="s">
        <v>18</v>
      </c>
    </row>
    <row r="7" spans="2:3" ht="51" customHeight="1" x14ac:dyDescent="0.3">
      <c r="B7" s="13" t="s">
        <v>19</v>
      </c>
    </row>
    <row r="8" spans="2:3" ht="42" customHeight="1" x14ac:dyDescent="0.3">
      <c r="B8" s="13" t="s">
        <v>20</v>
      </c>
    </row>
    <row r="9" spans="2:3" ht="31.2" customHeight="1" x14ac:dyDescent="0.3">
      <c r="B9" s="13"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DC2D-526A-4EFE-857C-5AB2AEF18510}">
  <dimension ref="A1:I39"/>
  <sheetViews>
    <sheetView topLeftCell="A28" zoomScale="91" workbookViewId="0">
      <selection activeCell="H12" sqref="H12"/>
    </sheetView>
  </sheetViews>
  <sheetFormatPr defaultRowHeight="14.4" x14ac:dyDescent="0.3"/>
  <cols>
    <col min="1" max="1" width="37.21875" customWidth="1"/>
    <col min="2" max="2" width="22.6640625" customWidth="1"/>
    <col min="9" max="9" width="69.88671875" customWidth="1"/>
  </cols>
  <sheetData>
    <row r="1" spans="1:9" s="16" customFormat="1" ht="45" customHeight="1" x14ac:dyDescent="0.3">
      <c r="A1" s="17" t="s">
        <v>27</v>
      </c>
      <c r="B1" s="17"/>
      <c r="C1" s="17"/>
      <c r="D1" s="17"/>
      <c r="E1" s="17"/>
      <c r="F1" s="17"/>
      <c r="G1" s="17"/>
      <c r="H1" s="17"/>
      <c r="I1" s="17"/>
    </row>
    <row r="2" spans="1:9" s="30" customFormat="1" ht="16.8" customHeight="1" x14ac:dyDescent="0.3">
      <c r="A2" s="29"/>
      <c r="B2" s="29"/>
      <c r="C2" s="29"/>
      <c r="D2" s="29"/>
      <c r="E2" s="29"/>
      <c r="F2" s="29"/>
      <c r="G2" s="29"/>
      <c r="H2" s="29"/>
      <c r="I2" s="29"/>
    </row>
    <row r="3" spans="1:9" ht="28.8" x14ac:dyDescent="0.55000000000000004">
      <c r="A3" s="24" t="s">
        <v>31</v>
      </c>
      <c r="B3" s="25"/>
      <c r="C3" s="25"/>
      <c r="D3" s="26"/>
      <c r="E3" s="27">
        <f>COUNTIF(Expense!B:B,"Online shopping")</f>
        <v>6</v>
      </c>
    </row>
    <row r="4" spans="1:9" ht="28.8" x14ac:dyDescent="0.55000000000000004">
      <c r="A4" s="24" t="s">
        <v>32</v>
      </c>
      <c r="B4" s="25"/>
      <c r="C4" s="25"/>
      <c r="D4" s="26"/>
      <c r="E4" s="27">
        <f>COUNTIF(Expense!B:B,"Ordering food")</f>
        <v>5</v>
      </c>
    </row>
    <row r="5" spans="1:9" ht="28.8" x14ac:dyDescent="0.55000000000000004">
      <c r="A5" s="24" t="s">
        <v>33</v>
      </c>
      <c r="B5" s="25"/>
      <c r="C5" s="25"/>
      <c r="D5" s="26"/>
      <c r="E5" s="27">
        <f>COUNTIF(Expense!B:B,"Gifts")</f>
        <v>4</v>
      </c>
    </row>
    <row r="6" spans="1:9" ht="28.8" x14ac:dyDescent="0.55000000000000004">
      <c r="A6" s="24" t="s">
        <v>26</v>
      </c>
      <c r="B6" s="25"/>
      <c r="C6" s="25"/>
      <c r="D6" s="26"/>
      <c r="E6" s="27">
        <f>SUM(E3:E5)</f>
        <v>15</v>
      </c>
    </row>
    <row r="7" spans="1:9" ht="28.8" x14ac:dyDescent="0.55000000000000004">
      <c r="A7" s="15"/>
      <c r="B7" s="15"/>
      <c r="C7" s="15"/>
      <c r="D7" s="15"/>
      <c r="E7" s="15"/>
    </row>
    <row r="9" spans="1:9" s="14" customFormat="1" ht="42" customHeight="1" x14ac:dyDescent="0.3">
      <c r="A9" s="18" t="s">
        <v>36</v>
      </c>
      <c r="B9" s="18"/>
      <c r="C9" s="18"/>
      <c r="D9" s="18"/>
      <c r="E9" s="18"/>
      <c r="F9" s="18"/>
      <c r="G9" s="18"/>
      <c r="H9" s="18"/>
      <c r="I9" s="18"/>
    </row>
    <row r="11" spans="1:9" ht="49.2" x14ac:dyDescent="0.3">
      <c r="A11" s="19" t="s">
        <v>13</v>
      </c>
      <c r="B11" s="19" t="s">
        <v>34</v>
      </c>
    </row>
    <row r="12" spans="1:9" ht="25.8" x14ac:dyDescent="0.5">
      <c r="A12" s="20" t="s">
        <v>1</v>
      </c>
      <c r="B12" s="21">
        <f>SUMIF(Expense!B:B,Sheet1!A12,Expense!C:C)</f>
        <v>7775</v>
      </c>
    </row>
    <row r="13" spans="1:9" ht="25.8" x14ac:dyDescent="0.5">
      <c r="A13" s="20" t="s">
        <v>2</v>
      </c>
      <c r="B13" s="21">
        <f>SUMIF(Expense!B:B,Sheet1!A13,Expense!C:C)</f>
        <v>7464</v>
      </c>
    </row>
    <row r="14" spans="1:9" ht="49.2" x14ac:dyDescent="0.5">
      <c r="A14" s="20" t="s">
        <v>3</v>
      </c>
      <c r="B14" s="21">
        <f>SUMIF(Expense!B:B,Sheet1!A14,Expense!C:C)</f>
        <v>10194.1</v>
      </c>
    </row>
    <row r="15" spans="1:9" ht="25.8" x14ac:dyDescent="0.5">
      <c r="A15" s="20" t="s">
        <v>4</v>
      </c>
      <c r="B15" s="21">
        <f>SUMIF(Expense!B:B,Sheet1!A15,Expense!C:C)</f>
        <v>3217</v>
      </c>
    </row>
    <row r="16" spans="1:9" ht="25.8" x14ac:dyDescent="0.5">
      <c r="A16" s="20" t="s">
        <v>5</v>
      </c>
      <c r="B16" s="21">
        <f>SUMIF(Expense!B:B,Sheet1!A16,Expense!C:C)</f>
        <v>3342</v>
      </c>
    </row>
    <row r="17" spans="1:9" ht="25.8" x14ac:dyDescent="0.5">
      <c r="A17" s="20" t="s">
        <v>9</v>
      </c>
      <c r="B17" s="21">
        <f>SUMIF(Expense!B:B,Sheet1!A17,Expense!C:C)</f>
        <v>5688</v>
      </c>
    </row>
    <row r="18" spans="1:9" ht="25.8" x14ac:dyDescent="0.5">
      <c r="A18" s="20" t="s">
        <v>6</v>
      </c>
      <c r="B18" s="21">
        <f>SUMIF(Expense!B:B,Sheet1!A18,Expense!C:C)</f>
        <v>1857</v>
      </c>
    </row>
    <row r="19" spans="1:9" ht="25.8" x14ac:dyDescent="0.5">
      <c r="A19" s="20" t="s">
        <v>7</v>
      </c>
      <c r="B19" s="21">
        <f>SUMIF(Expense!B:B,Sheet1!A19,Expense!C:C)</f>
        <v>2586</v>
      </c>
    </row>
    <row r="20" spans="1:9" ht="49.2" x14ac:dyDescent="0.5">
      <c r="A20" s="20" t="s">
        <v>10</v>
      </c>
      <c r="B20" s="21">
        <f>SUMIF(Expense!B:B,Sheet1!A20,Expense!C:C)</f>
        <v>1411.26</v>
      </c>
    </row>
    <row r="21" spans="1:9" ht="25.8" x14ac:dyDescent="0.5">
      <c r="A21" s="20" t="s">
        <v>8</v>
      </c>
      <c r="B21" s="21">
        <f>SUMIF(Expense!B:B,Sheet1!A21,Expense!C:C)</f>
        <v>1510.9099999999999</v>
      </c>
    </row>
    <row r="22" spans="1:9" ht="25.8" x14ac:dyDescent="0.5">
      <c r="A22" s="20" t="s">
        <v>11</v>
      </c>
      <c r="B22" s="21">
        <f>SUMIF(Expense!B:B,Sheet1!A22,Expense!C:C)</f>
        <v>12000</v>
      </c>
    </row>
    <row r="26" spans="1:9" s="14" customFormat="1" ht="42" customHeight="1" x14ac:dyDescent="0.3">
      <c r="A26" s="18" t="s">
        <v>35</v>
      </c>
      <c r="B26" s="18"/>
      <c r="C26" s="18"/>
      <c r="D26" s="18"/>
      <c r="E26" s="18"/>
      <c r="F26" s="18"/>
      <c r="G26" s="18"/>
      <c r="H26" s="18"/>
      <c r="I26" s="18"/>
    </row>
    <row r="28" spans="1:9" ht="56.4" x14ac:dyDescent="0.3">
      <c r="A28" s="22" t="s">
        <v>13</v>
      </c>
      <c r="B28" s="22" t="s">
        <v>34</v>
      </c>
    </row>
    <row r="29" spans="1:9" ht="28.8" x14ac:dyDescent="0.55000000000000004">
      <c r="A29" s="23" t="s">
        <v>11</v>
      </c>
      <c r="B29" s="28">
        <f>SUMIF(Expense!B:B,Sheet1!A29,Expense!C:C)</f>
        <v>12000</v>
      </c>
    </row>
    <row r="30" spans="1:9" ht="56.4" x14ac:dyDescent="0.55000000000000004">
      <c r="A30" s="23" t="s">
        <v>3</v>
      </c>
      <c r="B30" s="28">
        <f>SUMIF(Expense!B:B,Sheet1!A30,Expense!C:C)</f>
        <v>10194.1</v>
      </c>
    </row>
    <row r="31" spans="1:9" ht="28.8" x14ac:dyDescent="0.55000000000000004">
      <c r="A31" s="23" t="s">
        <v>1</v>
      </c>
      <c r="B31" s="28">
        <f>SUMIF(Expense!B:B,Sheet1!A31,Expense!C:C)</f>
        <v>7775</v>
      </c>
    </row>
    <row r="32" spans="1:9" ht="28.8" x14ac:dyDescent="0.55000000000000004">
      <c r="A32" s="23" t="s">
        <v>2</v>
      </c>
      <c r="B32" s="28">
        <f>SUMIF(Expense!B:B,Sheet1!A32,Expense!C:C)</f>
        <v>7464</v>
      </c>
    </row>
    <row r="33" spans="1:2" ht="28.8" x14ac:dyDescent="0.55000000000000004">
      <c r="A33" s="23" t="s">
        <v>9</v>
      </c>
      <c r="B33" s="28">
        <f>SUMIF(Expense!B:B,Sheet1!A33,Expense!C:C)</f>
        <v>5688</v>
      </c>
    </row>
    <row r="34" spans="1:2" ht="28.8" x14ac:dyDescent="0.55000000000000004">
      <c r="A34" s="23" t="s">
        <v>5</v>
      </c>
      <c r="B34" s="28">
        <f>SUMIF(Expense!B:B,Sheet1!A34,Expense!C:C)</f>
        <v>3342</v>
      </c>
    </row>
    <row r="35" spans="1:2" ht="56.4" x14ac:dyDescent="0.55000000000000004">
      <c r="A35" s="23" t="s">
        <v>4</v>
      </c>
      <c r="B35" s="28">
        <f>SUMIF(Expense!B:B,Sheet1!A35,Expense!C:C)</f>
        <v>3217</v>
      </c>
    </row>
    <row r="36" spans="1:2" ht="56.4" x14ac:dyDescent="0.55000000000000004">
      <c r="A36" s="23" t="s">
        <v>7</v>
      </c>
      <c r="B36" s="28">
        <f>SUMIF(Expense!B:B,Sheet1!A36,Expense!C:C)</f>
        <v>2586</v>
      </c>
    </row>
    <row r="37" spans="1:2" ht="28.8" x14ac:dyDescent="0.55000000000000004">
      <c r="A37" s="23" t="s">
        <v>6</v>
      </c>
      <c r="B37" s="28">
        <f>SUMIF(Expense!B:B,Sheet1!A37,Expense!C:C)</f>
        <v>1857</v>
      </c>
    </row>
    <row r="38" spans="1:2" ht="28.8" x14ac:dyDescent="0.55000000000000004">
      <c r="A38" s="23" t="s">
        <v>8</v>
      </c>
      <c r="B38" s="28">
        <f>SUMIF(Expense!B:B,Sheet1!A38,Expense!C:C)</f>
        <v>1510.9099999999999</v>
      </c>
    </row>
    <row r="39" spans="1:2" ht="56.4" x14ac:dyDescent="0.55000000000000004">
      <c r="A39" s="23" t="s">
        <v>10</v>
      </c>
      <c r="B39" s="28">
        <f>SUMIF(Expense!B:B,Sheet1!A39,Expense!C:C)</f>
        <v>1411.26</v>
      </c>
    </row>
  </sheetData>
  <sortState xmlns:xlrd2="http://schemas.microsoft.com/office/spreadsheetml/2017/richdata2" ref="B29:B39">
    <sortCondition descending="1" ref="B29:B39"/>
  </sortState>
  <mergeCells count="7">
    <mergeCell ref="A3:D3"/>
    <mergeCell ref="A9:I9"/>
    <mergeCell ref="A26:I26"/>
    <mergeCell ref="A6:D6"/>
    <mergeCell ref="A5:D5"/>
    <mergeCell ref="A4:D4"/>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vt:lpstr>
      <vt:lpstr>Tasks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Arbaz Mansoori</cp:lastModifiedBy>
  <dcterms:created xsi:type="dcterms:W3CDTF">2015-06-05T18:17:20Z</dcterms:created>
  <dcterms:modified xsi:type="dcterms:W3CDTF">2026-05-18T14:31:00Z</dcterms:modified>
</cp:coreProperties>
</file>